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  <sheet xmlns:r="http://schemas.openxmlformats.org/officeDocument/2006/relationships" name="Цена статьи" sheetId="2" state="visible" r:id="rId2"/>
    <sheet xmlns:r="http://schemas.openxmlformats.org/officeDocument/2006/relationships" name="Контро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$#,##0.00"/>
    <numFmt numFmtId="166" formatCode="0.0%"/>
    <numFmt numFmtId="167" formatCode="$#,##0.000"/>
  </numFmts>
  <fonts count="19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6B7280"/>
      <sz val="10"/>
    </font>
    <font>
      <name val="Arial"/>
      <color rgb="000000FF"/>
      <sz val="11"/>
    </font>
    <font>
      <name val="Arial"/>
      <sz val="11"/>
    </font>
    <font>
      <name val="Arial"/>
      <color rgb="004B5563"/>
      <sz val="9"/>
    </font>
    <font>
      <name val="Arial"/>
      <b val="1"/>
      <color rgb="00FFFFFF"/>
      <sz val="12"/>
    </font>
    <font>
      <name val="Arial"/>
    </font>
    <font>
      <name val="Arial"/>
      <b val="1"/>
      <color rgb="002E9E8F"/>
      <sz val="11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color rgb="006B7280"/>
      <sz val="9"/>
    </font>
    <font>
      <name val="Arial"/>
      <b val="1"/>
      <color rgb="00B5651D"/>
      <sz val="10"/>
    </font>
    <font>
      <name val="Arial"/>
      <color rgb="00000000"/>
      <sz val="11"/>
    </font>
    <font>
      <name val="Arial"/>
      <b val="1"/>
      <sz val="10"/>
    </font>
    <font>
      <name val="Arial"/>
      <color rgb="002E9E8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5651D"/>
      </patternFill>
    </fill>
  </fills>
  <borders count="2">
    <border>
      <left/>
      <right/>
      <top/>
      <bottom/>
      <diagonal/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165" fontId="9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5" fillId="0" borderId="0" pivotButton="0" quotePrefix="0" xfId="0"/>
    <xf numFmtId="166" fontId="11" fillId="0" borderId="0" pivotButton="0" quotePrefix="0" xfId="0"/>
    <xf numFmtId="3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0" borderId="0" pivotButton="0" quotePrefix="0" xfId="0"/>
    <xf numFmtId="3" fontId="6" fillId="0" borderId="0" applyAlignment="1" pivotButton="0" quotePrefix="0" xfId="0">
      <alignment horizontal="right"/>
    </xf>
    <xf numFmtId="3" fontId="16" fillId="0" borderId="0" applyAlignment="1" pivotButton="0" quotePrefix="0" xfId="0">
      <alignment horizontal="right"/>
    </xf>
    <xf numFmtId="9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62" customWidth="1" min="6" max="6"/>
  </cols>
  <sheetData>
    <row r="1" ht="26" customHeight="1">
      <c r="A1" s="1" t="inlineStr">
        <is>
          <t>BRIDGE42WORLDS · БЮДЖЕТ АВГУСТА 2026</t>
        </is>
      </c>
    </row>
    <row r="2">
      <c r="A2" s="2" t="inlineStr">
        <is>
          <t>Потолок $200. Цены замерены по журналу вызовов, не оценены.</t>
        </is>
      </c>
    </row>
    <row r="3" ht="8" customHeight="1"/>
    <row r="4" ht="30" customHeight="1">
      <c r="A4" s="3" t="inlineStr">
        <is>
          <t>Статья расхода</t>
        </is>
      </c>
      <c r="B4" s="3" t="inlineStr">
        <is>
          <t>Ответственный</t>
        </is>
      </c>
      <c r="C4" s="3" t="inlineStr">
        <is>
          <t>План, $</t>
        </is>
      </c>
      <c r="D4" s="3" t="inlineStr">
        <is>
          <t>Выбрано, $</t>
        </is>
      </c>
      <c r="E4" s="3" t="inlineStr">
        <is>
          <t>Остаток, $</t>
        </is>
      </c>
      <c r="F4" s="3" t="inlineStr">
        <is>
          <t>Что входит</t>
        </is>
      </c>
    </row>
    <row r="5" ht="34" customHeight="1">
      <c r="A5" s="4" t="inlineStr">
        <is>
          <t>Статьи</t>
        </is>
      </c>
      <c r="B5" s="5" t="inlineStr">
        <is>
          <t>архитектор</t>
        </is>
      </c>
      <c r="C5" s="6" t="n">
        <v>130</v>
      </c>
      <c r="D5" s="7" t="n">
        <v>6.95</v>
      </c>
      <c r="E5" s="8">
        <f>C5-D5</f>
        <v/>
      </c>
      <c r="F5" s="9" t="inlineStr">
        <is>
          <t>3 000 статей: 2 100 экспресс по $0,032 + 900 полных по $0,070. Все на пяти языках</t>
        </is>
      </c>
    </row>
    <row r="6" ht="34" customHeight="1">
      <c r="A6" s="4" t="inlineStr">
        <is>
          <t>Машина открытий</t>
        </is>
      </c>
      <c r="B6" s="5" t="inlineStr">
        <is>
          <t>ML</t>
        </is>
      </c>
      <c r="C6" s="6" t="n">
        <v>55</v>
      </c>
      <c r="D6" s="7" t="n">
        <v>0</v>
      </c>
      <c r="E6" s="8">
        <f>C6-D6</f>
        <v/>
      </c>
      <c r="F6" s="9" t="inlineStr">
        <is>
          <t>Карта 3,12 млн абстрактов $15 разово + дообучение LoRA на RunPod $40 (4-6 прогонов)</t>
        </is>
      </c>
    </row>
    <row r="7" ht="34" customHeight="1">
      <c r="A7" s="4" t="inlineStr">
        <is>
          <t>Cloudflare Workers Paid</t>
        </is>
      </c>
      <c r="B7" s="5" t="inlineStr">
        <is>
          <t>инфраструктура</t>
        </is>
      </c>
      <c r="C7" s="6" t="n">
        <v>5</v>
      </c>
      <c r="D7" s="7" t="n">
        <v>5</v>
      </c>
      <c r="E7" s="8">
        <f>C7-D7</f>
        <v/>
      </c>
      <c r="F7" s="9" t="inlineStr">
        <is>
          <t>Списывается 1 числа целиком. Обязателен: 73 тыс. запросов в сутки при лимите 100 тыс.</t>
        </is>
      </c>
    </row>
    <row r="8" ht="34" customHeight="1">
      <c r="A8" s="4" t="inlineStr">
        <is>
          <t>Резерв</t>
        </is>
      </c>
      <c r="B8" s="5" t="inlineStr">
        <is>
          <t>архитектор</t>
        </is>
      </c>
      <c r="C8" s="6" t="n">
        <v>10</v>
      </c>
      <c r="D8" s="7" t="n">
        <v>0</v>
      </c>
      <c r="E8" s="8">
        <f>C8-D8</f>
        <v/>
      </c>
      <c r="F8" s="9" t="inlineStr">
        <is>
          <t>Отклонение цены статьи от замера. Тратится только по решению владельца</t>
        </is>
      </c>
    </row>
    <row r="9" ht="26" customHeight="1">
      <c r="A9" s="10" t="inlineStr">
        <is>
          <t>ИТОГО</t>
        </is>
      </c>
      <c r="B9" s="11" t="inlineStr"/>
      <c r="C9" s="12">
        <f>SUM(C5:C8)</f>
        <v/>
      </c>
      <c r="D9" s="12">
        <f>SUM(D5:D8)</f>
        <v/>
      </c>
      <c r="E9" s="12">
        <f>SUM(E5:E8)</f>
        <v/>
      </c>
      <c r="F9" s="13" t="n"/>
    </row>
    <row r="11">
      <c r="A11" s="14" t="inlineStr">
        <is>
          <t>Выбрано от потолка</t>
        </is>
      </c>
      <c r="C11" s="15">
        <f>ROUND(E9/'Цена статьи'!B16,0)</f>
        <v/>
      </c>
    </row>
    <row r="12">
      <c r="A12" s="14" t="n"/>
      <c r="C12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58" customWidth="1" min="4" max="4"/>
  </cols>
  <sheetData>
    <row r="1">
      <c r="A1" s="17" t="inlineStr">
        <is>
          <t>ОТКУДА ВЗЯЛАСЬ ЦЕНА</t>
        </is>
      </c>
    </row>
    <row r="2">
      <c r="A2" s="18" t="inlineStr">
        <is>
          <t>Замер по data/usage-log.jsonl, период 3–7 августа 2026. Синим — исходные числа, их можно менять.</t>
        </is>
      </c>
    </row>
    <row r="4">
      <c r="D4" s="19" t="inlineStr"/>
    </row>
    <row r="5">
      <c r="A5" s="20" t="inlineStr">
        <is>
          <t>ПЛАН ВЫПУСКА</t>
        </is>
      </c>
      <c r="D5" s="19" t="inlineStr"/>
    </row>
    <row r="6">
      <c r="A6" s="21" t="inlineStr">
        <is>
          <t>Статей в день</t>
        </is>
      </c>
      <c r="B6" s="22" t="n">
        <v>100</v>
      </c>
      <c r="D6" s="19" t="inlineStr">
        <is>
          <t>требование владельца: не менее 100</t>
        </is>
      </c>
    </row>
    <row r="7">
      <c r="A7" s="21" t="inlineStr">
        <is>
          <t>Дней в месяце</t>
        </is>
      </c>
      <c r="B7" s="22" t="n">
        <v>30</v>
      </c>
      <c r="D7" s="19" t="inlineStr"/>
    </row>
    <row r="8">
      <c r="A8" s="21" t="inlineStr">
        <is>
          <t>Всего статей</t>
        </is>
      </c>
      <c r="B8" s="23">
        <f>B6*B7</f>
        <v/>
      </c>
      <c r="D8" s="19" t="inlineStr">
        <is>
          <t>текущие + ретроспектива</t>
        </is>
      </c>
    </row>
    <row r="9">
      <c r="D9" s="19" t="inlineStr"/>
    </row>
    <row r="10">
      <c r="A10" s="20" t="inlineStr">
        <is>
          <t>СООТНОШЕНИЕ</t>
        </is>
      </c>
      <c r="D10" s="19" t="inlineStr"/>
    </row>
    <row r="11">
      <c r="A11" s="21" t="inlineStr">
        <is>
          <t>Доля экспрессов</t>
        </is>
      </c>
      <c r="B11" s="24" t="n">
        <v>0.7</v>
      </c>
      <c r="D11" s="19" t="inlineStr">
        <is>
          <t>каждые 10% в пользу полных: +$11 к месяцу</t>
        </is>
      </c>
    </row>
    <row r="12">
      <c r="A12" s="21" t="inlineStr">
        <is>
          <t>Цена экспресса</t>
        </is>
      </c>
      <c r="B12" s="25" t="n">
        <v>0.032</v>
      </c>
      <c r="D12" s="19" t="inlineStr">
        <is>
          <t>замер 5–7 августа: 64 статьи за $2,04</t>
        </is>
      </c>
    </row>
    <row r="13">
      <c r="A13" s="21" t="inlineStr">
        <is>
          <t>Цена полной</t>
        </is>
      </c>
      <c r="B13" s="25" t="n">
        <v>0.07000000000000001</v>
      </c>
      <c r="D13" s="19" t="inlineStr">
        <is>
          <t>замер 3–7 августа, включая переводы</t>
        </is>
      </c>
    </row>
    <row r="14">
      <c r="D14" s="19" t="inlineStr"/>
    </row>
    <row r="15">
      <c r="A15" s="20" t="inlineStr">
        <is>
          <t>ИТОГ</t>
        </is>
      </c>
      <c r="D15" s="19" t="inlineStr"/>
    </row>
    <row r="16">
      <c r="A16" s="21" t="inlineStr">
        <is>
          <t>Средняя цена статьи</t>
        </is>
      </c>
      <c r="B16" s="23">
        <f>B11*B12+(1-B11)*B13</f>
        <v/>
      </c>
      <c r="D16" s="19" t="inlineStr">
        <is>
          <t>по этой цифре считается остаток</t>
        </is>
      </c>
    </row>
    <row r="17">
      <c r="A17" s="21" t="inlineStr">
        <is>
          <t>Экспрессов</t>
        </is>
      </c>
      <c r="B17" s="23">
        <f>ROUND(B8*B11,0)</f>
        <v/>
      </c>
      <c r="C17" s="26">
        <f>B17*B12</f>
        <v/>
      </c>
      <c r="D17" s="19" t="inlineStr"/>
    </row>
    <row r="18">
      <c r="A18" s="21" t="inlineStr">
        <is>
          <t>Полных</t>
        </is>
      </c>
      <c r="B18" s="23">
        <f>B8-B17</f>
        <v/>
      </c>
      <c r="C18" s="26">
        <f>B18*B13</f>
        <v/>
      </c>
      <c r="D18" s="19" t="inlineStr"/>
    </row>
    <row r="19">
      <c r="A19" s="21" t="inlineStr">
        <is>
          <t>ВСЕГО НА СТАТЬИ</t>
        </is>
      </c>
      <c r="C19" s="27">
        <f>C17+C18</f>
        <v/>
      </c>
      <c r="D19" s="19" t="inlineStr">
        <is>
          <t>должно совпасть со строкой «Статьи» в бюджете</t>
        </is>
      </c>
    </row>
    <row r="21">
      <c r="A21" s="20" t="inlineStr">
        <is>
          <t>ПОЧЕМУ НЕ $0,0098, КАК СЧИТАЛИ СНАЧАЛА</t>
        </is>
      </c>
    </row>
    <row r="22">
      <c r="A22" s="28" t="inlineStr">
        <is>
          <t>В первую оценку вошла только генерация текста — она и правда около двух центов.</t>
        </is>
      </c>
    </row>
    <row r="23">
      <c r="A23" s="28" t="inlineStr">
        <is>
          <t>Но статья без пяти языков нам не нужна, а четыре перевода стоят втрое дороже генерации.</t>
        </is>
      </c>
    </row>
    <row r="24">
      <c r="A24" s="28" t="inlineStr">
        <is>
          <t>Разбивка расходов за неделю: переводы 73%, генерация 27%.</t>
        </is>
      </c>
    </row>
    <row r="25">
      <c r="A25" s="28" t="inlineStr"/>
    </row>
    <row r="26">
      <c r="A26" s="28" t="inlineStr">
        <is>
          <t>Цена падала, пока чинили конвейер:</t>
        </is>
      </c>
    </row>
    <row r="27">
      <c r="A27" s="28" t="inlineStr">
        <is>
          <t xml:space="preserve">   30–31 июля    $0,284 за статью — переводы шли дорогой моделью (1 524 вызова, $10,79)</t>
        </is>
      </c>
    </row>
    <row r="28">
      <c r="A28" s="28" t="inlineStr">
        <is>
          <t xml:space="preserve">   3–7 августа   $0,070 — переводы переведены на дешёвую модель</t>
        </is>
      </c>
    </row>
    <row r="29">
      <c r="A29" s="28" t="inlineStr">
        <is>
          <t xml:space="preserve">   5–7 августа   $0,032 — убраны тройные повторы перевода</t>
        </is>
      </c>
    </row>
  </sheetData>
  <mergeCells count="10">
    <mergeCell ref="A1:D1"/>
    <mergeCell ref="A23:D23"/>
    <mergeCell ref="A27:D27"/>
    <mergeCell ref="A22:D22"/>
    <mergeCell ref="A26:D26"/>
    <mergeCell ref="A29:D29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6" customWidth="1" min="3" max="3"/>
  </cols>
  <sheetData>
    <row r="1">
      <c r="A1" s="17" t="inlineStr">
        <is>
          <t>КОНТРОЛЬ РАСХОДА</t>
        </is>
      </c>
    </row>
    <row r="2">
      <c r="A2" s="18" t="inlineStr">
        <is>
          <t>Требование владельца: «чтобы всё было и без косяков — не переводить по пять раз одно и то же и не запускать заново».</t>
        </is>
      </c>
    </row>
    <row r="4" ht="24" customHeight="1">
      <c r="A4" s="29" t="inlineStr">
        <is>
          <t>Механизм</t>
        </is>
      </c>
      <c r="B4" s="29" t="inlineStr">
        <is>
          <t>Предел</t>
        </is>
      </c>
      <c r="C4" s="29" t="inlineStr">
        <is>
          <t>Как работает</t>
        </is>
      </c>
    </row>
    <row r="5" ht="32" customHeight="1">
      <c r="A5" s="30" t="inlineStr">
        <is>
          <t>Месячный потолок</t>
        </is>
      </c>
      <c r="B5" s="31" t="inlineStr">
        <is>
          <t>$200</t>
        </is>
      </c>
      <c r="C5" s="9" t="inlineStr">
        <is>
          <t>Прогон не запускается вовсе. Отказ, а не предупреждение</t>
        </is>
      </c>
    </row>
    <row r="6" ht="32" customHeight="1">
      <c r="A6" s="30" t="inlineStr">
        <is>
          <t>Дневной предел</t>
        </is>
      </c>
      <c r="B6" s="31" t="inlineStr">
        <is>
          <t>$9,68</t>
        </is>
      </c>
      <c r="C6" s="9" t="inlineStr">
        <is>
          <t>Месяц ÷ 31 × 1,5 запаса. Иначе бюджет сгорает за трое суток</t>
        </is>
      </c>
    </row>
    <row r="7" ht="32" customHeight="1">
      <c r="A7" s="30" t="inlineStr">
        <is>
          <t>Предохранитель прогона</t>
        </is>
      </c>
      <c r="B7" s="31" t="inlineStr">
        <is>
          <t>$25</t>
        </is>
      </c>
      <c r="C7" s="9" t="inlineStr">
        <is>
          <t>Одна команда дороже — почти наверняка сорвавшийся цикл</t>
        </is>
      </c>
    </row>
    <row r="8" ht="32" customHeight="1">
      <c r="A8" s="30" t="inlineStr">
        <is>
          <t>Не переводить дважды</t>
        </is>
      </c>
      <c r="B8" s="31" t="inlineStr">
        <is>
          <t>—</t>
        </is>
      </c>
      <c r="C8" s="9" t="inlineStr">
        <is>
          <t>Проверка перед вызовом: есть ли перевод и не лежит ли под меткой языка русский оригинал</t>
        </is>
      </c>
    </row>
    <row r="9" ht="32" customHeight="1">
      <c r="A9" s="30" t="inlineStr">
        <is>
          <t>Все четыре уровня</t>
        </is>
      </c>
      <c r="B9" s="31" t="inlineStr">
        <is>
          <t>—</t>
        </is>
      </c>
      <c r="C9" s="9" t="inlineStr">
        <is>
          <t>Догон смотрит mini/simple/popular/advanced. 7 августа из-за первого попавшегося потерялись 15 французских статей</t>
        </is>
      </c>
    </row>
    <row r="10" ht="32" customHeight="1">
      <c r="A10" s="30" t="inlineStr">
        <is>
          <t>Без повторов модели</t>
        </is>
      </c>
      <c r="B10" s="31" t="inlineStr">
        <is>
          <t>—</t>
        </is>
      </c>
      <c r="C10" s="9" t="inlineStr">
        <is>
          <t>Убраны 6 августа: 174 лишних вызова на 46 статей. Причина была в нашем разборе ответа, не в модели</t>
        </is>
      </c>
    </row>
    <row r="11" ht="32" customHeight="1">
      <c r="A11" s="30" t="inlineStr">
        <is>
          <t>Отчёт в Telegram</t>
        </is>
      </c>
      <c r="B11" s="31" t="inlineStr">
        <is>
          <t>3 раза в день</t>
        </is>
      </c>
      <c r="C11" s="9" t="inlineStr">
        <is>
          <t>План / выбрано / остаток по каждой строке бюджета плюс число читателей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2026-08-08T04:17:17Z</dcterms:created>
  <dcterms:modified xmlns:dcterms="http://purl.org/dc/terms/" xmlns:xsi="http://www.w3.org/2001/XMLSchema-instance" xsi:type="dcterms:W3CDTF">2026-08-08T04:18:58Z</dcterms:modified>
</cp:coreProperties>
</file>